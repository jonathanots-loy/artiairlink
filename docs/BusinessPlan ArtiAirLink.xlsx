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Projections 3 ans" sheetId="2" state="visible" r:id="rId4"/>
    <sheet name="Trésorerie An 1" sheetId="3" state="visible" r:id="rId5"/>
    <sheet name="Risqu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<sst xmlns="http://schemas.openxmlformats.org/spreadsheetml/2006/main" count="138" uniqueCount="132">
  <si>
    <t xml:space="preserve">ARTI-AIRLINK — BUSINESS PLAN &amp; HYPOTHÈSES</t>
  </si>
  <si>
    <t xml:space="preserve">📌 HYPOTHÈSES — PHASE 1 (0–12 mois) : Inspection en Belgique</t>
  </si>
  <si>
    <t xml:space="preserve">Nombre de missions/mois (départ)</t>
  </si>
  <si>
    <t xml:space="preserve">Montée progressive sur l'année</t>
  </si>
  <si>
    <t xml:space="preserve">Nombre de missions/mois (fin d'année)</t>
  </si>
  <si>
    <t xml:space="preserve">Objectif Phase 1</t>
  </si>
  <si>
    <t xml:space="preserve">Prix moyen par mission (€)</t>
  </si>
  <si>
    <t xml:space="preserve">Inspection agricole/industrielle standard</t>
  </si>
  <si>
    <t xml:space="preserve">Croissance mensuelle des missions</t>
  </si>
  <si>
    <t xml:space="preserve">8% de croissance mensuelle</t>
  </si>
  <si>
    <t xml:space="preserve">Coût équipement initial (€)</t>
  </si>
  <si>
    <t xml:space="preserve">Drone commercial + accessoires + IMU</t>
  </si>
  <si>
    <t xml:space="preserve">Certifications &amp; assurances (€/an)</t>
  </si>
  <si>
    <t xml:space="preserve">DGTA + RC + brevet A2</t>
  </si>
  <si>
    <t xml:space="preserve">Maintenance (% du CA)</t>
  </si>
  <si>
    <t xml:space="preserve">10% du chiffre d'affaires</t>
  </si>
  <si>
    <t xml:space="preserve">Frais divers opérationnels (€/mois)</t>
  </si>
  <si>
    <t xml:space="preserve">Carburant, déplacements, comm.</t>
  </si>
  <si>
    <t xml:space="preserve">📌 HYPOTHÈSES — PHASE 2 (12–24 mois) : R&amp;D Drone Custom</t>
  </si>
  <si>
    <t xml:space="preserve">Budget R&amp;D drone custom (€)</t>
  </si>
  <si>
    <t xml:space="preserve">Matériaux, composants, prototypage</t>
  </si>
  <si>
    <t xml:space="preserve">Nombre missions/mois Phase 2</t>
  </si>
  <si>
    <t xml:space="preserve">Croissance continue des missions inspection</t>
  </si>
  <si>
    <t xml:space="preserve">Prix moyen mission (€)</t>
  </si>
  <si>
    <t xml:space="preserve">Montée en gamme avec drone custom</t>
  </si>
  <si>
    <t xml:space="preserve">Revenus location drone (€/mois)</t>
  </si>
  <si>
    <t xml:space="preserve">Location à d'autres opérateurs certifiés</t>
  </si>
  <si>
    <t xml:space="preserve">Salaire opérateur additionnel (€/mois)</t>
  </si>
  <si>
    <t xml:space="preserve">Recrutement si besoin Phase 2</t>
  </si>
  <si>
    <t xml:space="preserve">📌 HYPOTHÈSES — PHASE 3 (24–48 mois) : Expansion Internationale</t>
  </si>
  <si>
    <t xml:space="preserve">Marchés cibles</t>
  </si>
  <si>
    <t xml:space="preserve">Belgique + RDC</t>
  </si>
  <si>
    <t xml:space="preserve">Expansion progressive</t>
  </si>
  <si>
    <t xml:space="preserve">Nombre missions/mois Phase 3</t>
  </si>
  <si>
    <t xml:space="preserve">Combiné Belgique + RDC</t>
  </si>
  <si>
    <t xml:space="preserve">Prix moyen mission RDC (€)</t>
  </si>
  <si>
    <t xml:space="preserve">Ajusté au marché local</t>
  </si>
  <si>
    <t xml:space="preserve">Investissement expansion (€)</t>
  </si>
  <si>
    <t xml:space="preserve">Logistique, partenariats, certifications RDC</t>
  </si>
  <si>
    <t xml:space="preserve">Revenus partenariats ONG (€/an)</t>
  </si>
  <si>
    <t xml:space="preserve">Contrats transport médical / humanitaire</t>
  </si>
  <si>
    <t xml:space="preserve">ℹ️ LÉGENDE</t>
  </si>
  <si>
    <t xml:space="preserve">Texte bleu</t>
  </si>
  <si>
    <t xml:space="preserve">Hypothèse modifiable (input)</t>
  </si>
  <si>
    <t xml:space="preserve">Fond jaune</t>
  </si>
  <si>
    <t xml:space="preserve">Hypothèse critique à surveiller</t>
  </si>
  <si>
    <t xml:space="preserve">Texte noir</t>
  </si>
  <si>
    <t xml:space="preserve">Formule calculée automatiquement</t>
  </si>
  <si>
    <t xml:space="preserve">Texte vert</t>
  </si>
  <si>
    <t xml:space="preserve">Lien vers autre onglet</t>
  </si>
  <si>
    <t xml:space="preserve">ARTI-AIRLINK — PROJECTIONS FINANCIÈRES SUR 3 ANS</t>
  </si>
  <si>
    <t xml:space="preserve">Montants en EUR — Hypothèses modifiables dans l'onglet 'Hypothèses'</t>
  </si>
  <si>
    <t xml:space="preserve">INDICATEUR</t>
  </si>
  <si>
    <t xml:space="preserve">PHASE 1
(An 1)</t>
  </si>
  <si>
    <t xml:space="preserve">PHASE 2
(An 2)</t>
  </si>
  <si>
    <t xml:space="preserve">PHASE 3
(An 3)</t>
  </si>
  <si>
    <t xml:space="preserve">CUMULÉ
3 ANS</t>
  </si>
  <si>
    <t xml:space="preserve">💰 REVENUS</t>
  </si>
  <si>
    <t xml:space="preserve">Missions d'inspection (€)</t>
  </si>
  <si>
    <t xml:space="preserve">Location drone &amp; opérateur (€)</t>
  </si>
  <si>
    <t xml:space="preserve">Formation &amp; conseil (€)</t>
  </si>
  <si>
    <t xml:space="preserve">Partenariats ONG / transport (€)</t>
  </si>
  <si>
    <t xml:space="preserve">TOTAL REVENUS</t>
  </si>
  <si>
    <t xml:space="preserve">💸 CHARGES</t>
  </si>
  <si>
    <t xml:space="preserve">Équipement &amp; matériel (€)</t>
  </si>
  <si>
    <t xml:space="preserve">Certifications &amp; assurances (€)</t>
  </si>
  <si>
    <t xml:space="preserve">Maintenance (10% CA)</t>
  </si>
  <si>
    <t xml:space="preserve">Frais opérationnels (€)</t>
  </si>
  <si>
    <t xml:space="preserve">Salaires (€)</t>
  </si>
  <si>
    <t xml:space="preserve">R&amp;D et innovation (€)</t>
  </si>
  <si>
    <t xml:space="preserve">TOTAL CHARGES</t>
  </si>
  <si>
    <t xml:space="preserve">📊 RÉSULTATS</t>
  </si>
  <si>
    <t xml:space="preserve">RÉSULTAT BRUT (€)</t>
  </si>
  <si>
    <t xml:space="preserve">Marge brute (%)</t>
  </si>
  <si>
    <t xml:space="preserve">Point mort (missions/an)</t>
  </si>
  <si>
    <t xml:space="preserve">ARTI-AIRLINK — TRÉSORERIE MENSUELLE — AN 1 (Phase 1)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</si>
  <si>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</si>
  <si>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</si>
  <si>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</si>
  <si>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</si>
  <si>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</si>
  <si>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</si>
  <si>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</si>
  <si>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</si>
  <si>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</si>
  <si>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</si>
  <si>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</si>
  <si>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</si>
  <si>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TOTAL</t>
  </si>
  <si>
    <t xml:space="preserve">Nombre de missions</t>
  </si>
  <si>
    <t xml:space="preserve">Revenus bruts (€)</t>
  </si>
  <si>
    <t xml:space="preserve">Charges fixes (€)</t>
  </si>
  <si>
    <t xml:space="preserve">Charges variables (€)</t>
  </si>
  <si>
    <t xml:space="preserve">Total charges (€)</t>
  </si>
  <si>
    <t xml:space="preserve">Résultat mensuel (€)</t>
  </si>
  <si>
    <t xml:space="preserve">Trésorerie cumulée (€)</t>
  </si>
  <si>
    <t xml:space="preserve">ARTI-AIRLINK — MATRICE DES RISQUES</t>
  </si>
  <si>
    <t xml:space="preserve">CATÉGORIE</t>
  </si>
  <si>
    <t xml:space="preserve">RISQUE</t>
  </si>
  <si>
    <t xml:space="preserve">PROBABILITÉ
(1–5)</t>
  </si>
  <si>
    <t xml:space="preserve">IMPACT
(1–5)</t>
  </si>
  <si>
    <t xml:space="preserve">SCORE
(P×I)</t>
  </si>
  <si>
    <t xml:space="preserve">MITIGATION</t>
  </si>
  <si>
    <t xml:space="preserve">Technique</t>
  </si>
  <si>
    <t xml:space="preserve">Instabilité du drone sous charge variable</t>
  </si>
  <si>
    <t xml:space="preserve">Tests progressifs de charge ; calibration PID adaptative</t>
  </si>
  <si>
    <t xml:space="preserve">Panne IMU ou PID en vol — perte de l'appareil</t>
  </si>
  <si>
    <t xml:space="preserve">Redondance des capteurs ; assurance RC ; procédure d'urgence</t>
  </si>
  <si>
    <t xml:space="preserve">Réglementaire</t>
  </si>
  <si>
    <t xml:space="preserve">Changement des normes EASA / DGTA</t>
  </si>
  <si>
    <t xml:space="preserve">Veille réglementaire active ; membre de l'association belge drones</t>
  </si>
  <si>
    <t xml:space="preserve">Refus de certification SORA (Phase 3)</t>
  </si>
  <si>
    <t xml:space="preserve">Préparation dossier SORA dès Phase 2 ; consultation DGTA</t>
  </si>
  <si>
    <t xml:space="preserve">Marché</t>
  </si>
  <si>
    <t xml:space="preserve">Faible adoption par les agriculteurs belges</t>
  </si>
  <si>
    <t xml:space="preserve">Démonstrations gratuites ; partenariats avec coopératives agricoles</t>
  </si>
  <si>
    <t xml:space="preserve">Concurrence d'acteurs établis (ex. DJI Enterprise)</t>
  </si>
  <si>
    <t xml:space="preserve">Différenciation service + IA ; focus niches spécifiques</t>
  </si>
  <si>
    <t xml:space="preserve">Financier</t>
  </si>
  <si>
    <t xml:space="preserve">Dépassement du budget R&amp;D Phase 2</t>
  </si>
  <si>
    <t xml:space="preserve">Budget R&amp;D verrouillé ; jalons de validation par étapes</t>
  </si>
  <si>
    <t xml:space="preserve">Difficultés de trésorerie en Phase 1</t>
  </si>
  <si>
    <t xml:space="preserve">Fonds de roulement 3 mois ; contrats-cadres dès démarrage</t>
  </si>
  <si>
    <t xml:space="preserve">International</t>
  </si>
  <si>
    <t xml:space="preserve">Instabilité politique en RDC</t>
  </si>
  <si>
    <t xml:space="preserve">Partenariats avec ONG et organisations internationales établies</t>
  </si>
  <si>
    <t xml:space="preserve">Absence de réglementation drone au Congo</t>
  </si>
  <si>
    <t xml:space="preserve">Collaboration avec autorités locales ; lobbying via ONG partenaires</t>
  </si>
  <si>
    <t xml:space="preserve">LÉGENDE SCORE :</t>
  </si>
  <si>
    <t xml:space="preserve">1–6 : Risque faible</t>
  </si>
  <si>
    <t xml:space="preserve">7–12 : Risque modéré</t>
  </si>
  <si>
    <t xml:space="preserve">13–25 : Risque élevé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</si>
</sst>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.0%"/>
    <numFmt numFmtId="167" formatCode="0&quot; missions&quot;"/>
    <numFmt numFmtId="168" formatCode="#,##0;\(#,##0\);\-"/>
    <numFmt numFmtId="169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2E74B5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92D050"/>
        <bgColor rgb="FF969696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38"/>
  </cols>
  <sheetData>
    <row r="1" customFormat="false" ht="36" hidden="false" customHeight="true" outlineLevel="0" collapsed="false">
      <c r="A1" s="1" t="s">
        <v>0</v>
      </c>
      <c r="B1" s="1"/>
      <c r="C1" s="1"/>
    </row>
    <row r="3" customFormat="false" ht="25.5" hidden="false" customHeight="true" outlineLevel="0" collapsed="false">
      <c r="A3" s="2" t="s">
        <v>1</v>
      </c>
      <c r="B3" s="2"/>
      <c r="C3" s="2"/>
    </row>
    <row r="4" customFormat="false" ht="18" hidden="false" customHeight="true" outlineLevel="0" collapsed="false">
      <c r="A4" s="3" t="s">
        <v>2</v>
      </c>
      <c r="B4" s="4" t="n">
        <v>4</v>
      </c>
      <c r="C4" s="5" t="s">
        <v>3</v>
      </c>
    </row>
    <row r="5" customFormat="false" ht="18" hidden="false" customHeight="true" outlineLevel="0" collapsed="false">
      <c r="A5" s="3" t="s">
        <v>4</v>
      </c>
      <c r="B5" s="4" t="n">
        <v>12</v>
      </c>
      <c r="C5" s="5" t="s">
        <v>5</v>
      </c>
    </row>
    <row r="6" customFormat="false" ht="18" hidden="false" customHeight="true" outlineLevel="0" collapsed="false">
      <c r="A6" s="3" t="s">
        <v>6</v>
      </c>
      <c r="B6" s="4" t="n">
        <v>350</v>
      </c>
      <c r="C6" s="5" t="s">
        <v>7</v>
      </c>
    </row>
    <row r="7" customFormat="false" ht="18" hidden="false" customHeight="true" outlineLevel="0" collapsed="false">
      <c r="A7" s="3" t="s">
        <v>8</v>
      </c>
      <c r="B7" s="6" t="n">
        <v>0.08</v>
      </c>
      <c r="C7" s="5" t="s">
        <v>9</v>
      </c>
    </row>
    <row r="8" customFormat="false" ht="18" hidden="false" customHeight="true" outlineLevel="0" collapsed="false">
      <c r="A8" s="3" t="s">
        <v>10</v>
      </c>
      <c r="B8" s="7" t="n">
        <v>3500</v>
      </c>
      <c r="C8" s="5" t="s">
        <v>11</v>
      </c>
    </row>
    <row r="9" customFormat="false" ht="18" hidden="false" customHeight="true" outlineLevel="0" collapsed="false">
      <c r="A9" s="3" t="s">
        <v>12</v>
      </c>
      <c r="B9" s="4" t="n">
        <v>1500</v>
      </c>
      <c r="C9" s="5" t="s">
        <v>13</v>
      </c>
    </row>
    <row r="10" customFormat="false" ht="18" hidden="false" customHeight="true" outlineLevel="0" collapsed="false">
      <c r="A10" s="3" t="s">
        <v>14</v>
      </c>
      <c r="B10" s="6" t="n">
        <v>0.1</v>
      </c>
      <c r="C10" s="5" t="s">
        <v>15</v>
      </c>
    </row>
    <row r="11" customFormat="false" ht="18" hidden="false" customHeight="true" outlineLevel="0" collapsed="false">
      <c r="A11" s="3" t="s">
        <v>16</v>
      </c>
      <c r="B11" s="4" t="n">
        <v>200</v>
      </c>
      <c r="C11" s="5" t="s">
        <v>17</v>
      </c>
    </row>
    <row r="13" customFormat="false" ht="25.5" hidden="false" customHeight="true" outlineLevel="0" collapsed="false">
      <c r="A13" s="2" t="s">
        <v>18</v>
      </c>
      <c r="B13" s="2"/>
      <c r="C13" s="2"/>
    </row>
    <row r="14" customFormat="false" ht="18" hidden="false" customHeight="true" outlineLevel="0" collapsed="false">
      <c r="A14" s="3" t="s">
        <v>19</v>
      </c>
      <c r="B14" s="7" t="n">
        <v>35000</v>
      </c>
      <c r="C14" s="5" t="s">
        <v>20</v>
      </c>
    </row>
    <row r="15" customFormat="false" ht="18" hidden="false" customHeight="true" outlineLevel="0" collapsed="false">
      <c r="A15" s="3" t="s">
        <v>21</v>
      </c>
      <c r="B15" s="4" t="n">
        <v>18</v>
      </c>
      <c r="C15" s="5" t="s">
        <v>22</v>
      </c>
    </row>
    <row r="16" customFormat="false" ht="18" hidden="false" customHeight="true" outlineLevel="0" collapsed="false">
      <c r="A16" s="3" t="s">
        <v>23</v>
      </c>
      <c r="B16" s="4" t="n">
        <v>420</v>
      </c>
      <c r="C16" s="5" t="s">
        <v>24</v>
      </c>
    </row>
    <row r="17" customFormat="false" ht="18" hidden="false" customHeight="true" outlineLevel="0" collapsed="false">
      <c r="A17" s="3" t="s">
        <v>25</v>
      </c>
      <c r="B17" s="4" t="n">
        <v>800</v>
      </c>
      <c r="C17" s="5" t="s">
        <v>26</v>
      </c>
    </row>
    <row r="18" customFormat="false" ht="18" hidden="false" customHeight="true" outlineLevel="0" collapsed="false">
      <c r="A18" s="3" t="s">
        <v>27</v>
      </c>
      <c r="B18" s="7" t="n">
        <v>2500</v>
      </c>
      <c r="C18" s="5" t="s">
        <v>28</v>
      </c>
    </row>
    <row r="20" customFormat="false" ht="25.5" hidden="false" customHeight="true" outlineLevel="0" collapsed="false">
      <c r="A20" s="2" t="s">
        <v>29</v>
      </c>
      <c r="B20" s="2"/>
      <c r="C20" s="2"/>
    </row>
    <row r="21" customFormat="false" ht="18" hidden="false" customHeight="true" outlineLevel="0" collapsed="false">
      <c r="A21" s="3" t="s">
        <v>30</v>
      </c>
      <c r="B21" s="8" t="s">
        <v>31</v>
      </c>
      <c r="C21" s="5" t="s">
        <v>32</v>
      </c>
    </row>
    <row r="22" customFormat="false" ht="18" hidden="false" customHeight="true" outlineLevel="0" collapsed="false">
      <c r="A22" s="3" t="s">
        <v>33</v>
      </c>
      <c r="B22" s="4" t="n">
        <v>40</v>
      </c>
      <c r="C22" s="5" t="s">
        <v>34</v>
      </c>
    </row>
    <row r="23" customFormat="false" ht="18" hidden="false" customHeight="true" outlineLevel="0" collapsed="false">
      <c r="A23" s="3" t="s">
        <v>35</v>
      </c>
      <c r="B23" s="4" t="n">
        <v>280</v>
      </c>
      <c r="C23" s="5" t="s">
        <v>36</v>
      </c>
    </row>
    <row r="24" customFormat="false" ht="18" hidden="false" customHeight="true" outlineLevel="0" collapsed="false">
      <c r="A24" s="3" t="s">
        <v>37</v>
      </c>
      <c r="B24" s="7" t="n">
        <v>50000</v>
      </c>
      <c r="C24" s="5" t="s">
        <v>38</v>
      </c>
    </row>
    <row r="25" customFormat="false" ht="18" hidden="false" customHeight="true" outlineLevel="0" collapsed="false">
      <c r="A25" s="3" t="s">
        <v>39</v>
      </c>
      <c r="B25" s="4" t="n">
        <v>20000</v>
      </c>
      <c r="C25" s="5" t="s">
        <v>40</v>
      </c>
    </row>
    <row r="27" customFormat="false" ht="25.5" hidden="false" customHeight="true" outlineLevel="0" collapsed="false">
      <c r="A27" s="2" t="s">
        <v>41</v>
      </c>
      <c r="B27" s="2"/>
      <c r="C27" s="2"/>
    </row>
    <row r="28" customFormat="false" ht="15" hidden="false" customHeight="false" outlineLevel="0" collapsed="false">
      <c r="A28" s="9" t="s">
        <v>42</v>
      </c>
      <c r="B28" s="10" t="s">
        <v>43</v>
      </c>
      <c r="C28" s="10"/>
    </row>
    <row r="29" customFormat="false" ht="15" hidden="false" customHeight="false" outlineLevel="0" collapsed="false">
      <c r="A29" s="9" t="s">
        <v>44</v>
      </c>
      <c r="B29" s="10" t="s">
        <v>45</v>
      </c>
      <c r="C29" s="10"/>
    </row>
    <row r="30" customFormat="false" ht="15" hidden="false" customHeight="false" outlineLevel="0" collapsed="false">
      <c r="A30" s="9" t="s">
        <v>46</v>
      </c>
      <c r="B30" s="10" t="s">
        <v>47</v>
      </c>
      <c r="C30" s="10"/>
    </row>
    <row r="31" customFormat="false" ht="15" hidden="false" customHeight="false" outlineLevel="0" collapsed="false">
      <c r="A31" s="9" t="s">
        <v>48</v>
      </c>
      <c r="B31" s="10" t="s">
        <v>49</v>
      </c>
      <c r="C31" s="10"/>
    </row>
  </sheetData>
  <mergeCells count="9">
    <mergeCell ref="A1:C1"/>
    <mergeCell ref="A3:C3"/>
    <mergeCell ref="A13:C13"/>
    <mergeCell ref="A20:C20"/>
    <mergeCell ref="A27:C27"/>
    <mergeCell ref="B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1" t="s">
        <v>50</v>
      </c>
      <c r="B1" s="11"/>
      <c r="C1" s="11"/>
      <c r="D1" s="11"/>
      <c r="E1" s="11"/>
    </row>
    <row r="2" customFormat="false" ht="18" hidden="false" customHeight="true" outlineLevel="0" collapsed="false">
      <c r="A2" s="12" t="s">
        <v>51</v>
      </c>
      <c r="B2" s="12"/>
      <c r="C2" s="12"/>
      <c r="D2" s="12"/>
      <c r="E2" s="12"/>
    </row>
    <row r="4" customFormat="false" ht="31.5" hidden="false" customHeight="true" outlineLevel="0" collapsed="false">
      <c r="A4" s="13" t="s">
        <v>52</v>
      </c>
      <c r="B4" s="13" t="s">
        <v>53</v>
      </c>
      <c r="C4" s="13" t="s">
        <v>54</v>
      </c>
      <c r="D4" s="13" t="s">
        <v>55</v>
      </c>
      <c r="E4" s="13" t="s">
        <v>56</v>
      </c>
    </row>
    <row r="5" customFormat="false" ht="21.75" hidden="false" customHeight="true" outlineLevel="0" collapsed="false">
      <c r="A5" s="14" t="s">
        <v>57</v>
      </c>
      <c r="B5" s="14"/>
      <c r="C5" s="14"/>
      <c r="D5" s="14"/>
      <c r="E5" s="14"/>
    </row>
    <row r="6" customFormat="false" ht="18" hidden="false" customHeight="true" outlineLevel="0" collapsed="false">
      <c r="A6" s="15" t="s">
        <v>58</v>
      </c>
      <c r="B6" s="16" t="n">
        <v>36400</v>
      </c>
      <c r="C6" s="16" t="n">
        <v>90720</v>
      </c>
      <c r="D6" s="16" t="n">
        <v>150000</v>
      </c>
      <c r="E6" s="17" t="n">
        <f aca="false">SUM(B6:D6)</f>
        <v>277120</v>
      </c>
    </row>
    <row r="7" customFormat="false" ht="18" hidden="false" customHeight="true" outlineLevel="0" collapsed="false">
      <c r="A7" s="15" t="s">
        <v>59</v>
      </c>
      <c r="B7" s="16" t="n">
        <v>0</v>
      </c>
      <c r="C7" s="16" t="n">
        <v>9600</v>
      </c>
      <c r="D7" s="16" t="n">
        <v>15000</v>
      </c>
      <c r="E7" s="17" t="n">
        <f aca="false">SUM(B7:D7)</f>
        <v>24600</v>
      </c>
    </row>
    <row r="8" customFormat="false" ht="18" hidden="false" customHeight="true" outlineLevel="0" collapsed="false">
      <c r="A8" s="15" t="s">
        <v>60</v>
      </c>
      <c r="B8" s="16" t="n">
        <v>2000</v>
      </c>
      <c r="C8" s="16" t="n">
        <v>5000</v>
      </c>
      <c r="D8" s="16" t="n">
        <v>8000</v>
      </c>
      <c r="E8" s="17" t="n">
        <f aca="false">SUM(B8:D8)</f>
        <v>15000</v>
      </c>
    </row>
    <row r="9" customFormat="false" ht="18" hidden="false" customHeight="true" outlineLevel="0" collapsed="false">
      <c r="A9" s="15" t="s">
        <v>61</v>
      </c>
      <c r="B9" s="16" t="n">
        <v>0</v>
      </c>
      <c r="C9" s="16" t="n">
        <v>0</v>
      </c>
      <c r="D9" s="16" t="n">
        <v>20000</v>
      </c>
      <c r="E9" s="17" t="n">
        <f aca="false">SUM(B9:D9)</f>
        <v>20000</v>
      </c>
    </row>
    <row r="10" customFormat="false" ht="18" hidden="false" customHeight="true" outlineLevel="0" collapsed="false">
      <c r="A10" s="18" t="s">
        <v>62</v>
      </c>
      <c r="B10" s="19" t="n">
        <f aca="false">SUM(B6:B9)</f>
        <v>38400</v>
      </c>
      <c r="C10" s="19" t="n">
        <f aca="false">SUM(C6:C9)</f>
        <v>105320</v>
      </c>
      <c r="D10" s="19" t="n">
        <f aca="false">SUM(D6:D9)</f>
        <v>193000</v>
      </c>
      <c r="E10" s="20" t="n">
        <f aca="false">SUM(B10:D10)</f>
        <v>336720</v>
      </c>
    </row>
    <row r="12" customFormat="false" ht="21.75" hidden="false" customHeight="true" outlineLevel="0" collapsed="false">
      <c r="A12" s="14" t="s">
        <v>63</v>
      </c>
      <c r="B12" s="14"/>
      <c r="C12" s="14"/>
      <c r="D12" s="14"/>
      <c r="E12" s="14"/>
    </row>
    <row r="13" customFormat="false" ht="18" hidden="false" customHeight="true" outlineLevel="0" collapsed="false">
      <c r="A13" s="15" t="s">
        <v>64</v>
      </c>
      <c r="B13" s="16" t="n">
        <v>3500</v>
      </c>
      <c r="C13" s="16" t="n">
        <v>35000</v>
      </c>
      <c r="D13" s="16" t="n">
        <v>50000</v>
      </c>
      <c r="E13" s="17" t="n">
        <f aca="false">SUM(B13:D13)</f>
        <v>88500</v>
      </c>
    </row>
    <row r="14" customFormat="false" ht="18" hidden="false" customHeight="true" outlineLevel="0" collapsed="false">
      <c r="A14" s="15" t="s">
        <v>65</v>
      </c>
      <c r="B14" s="16" t="n">
        <v>1500</v>
      </c>
      <c r="C14" s="16" t="n">
        <v>1800</v>
      </c>
      <c r="D14" s="16" t="n">
        <v>2200</v>
      </c>
      <c r="E14" s="17" t="n">
        <f aca="false">SUM(B14:D14)</f>
        <v>5500</v>
      </c>
    </row>
    <row r="15" customFormat="false" ht="18" hidden="false" customHeight="true" outlineLevel="0" collapsed="false">
      <c r="A15" s="15" t="s">
        <v>66</v>
      </c>
      <c r="B15" s="16" t="n">
        <f aca="false">B10*0.1</f>
        <v>3840</v>
      </c>
      <c r="C15" s="16" t="n">
        <f aca="false">C10*0.1</f>
        <v>10532</v>
      </c>
      <c r="D15" s="16" t="n">
        <f aca="false">D10*0.1</f>
        <v>19300</v>
      </c>
      <c r="E15" s="17" t="n">
        <f aca="false">SUM(B15:D15)</f>
        <v>33672</v>
      </c>
    </row>
    <row r="16" customFormat="false" ht="18" hidden="false" customHeight="true" outlineLevel="0" collapsed="false">
      <c r="A16" s="15" t="s">
        <v>67</v>
      </c>
      <c r="B16" s="16" t="n">
        <v>2400</v>
      </c>
      <c r="C16" s="16" t="n">
        <v>3600</v>
      </c>
      <c r="D16" s="16" t="n">
        <v>5000</v>
      </c>
      <c r="E16" s="17" t="n">
        <f aca="false">SUM(B16:D16)</f>
        <v>11000</v>
      </c>
    </row>
    <row r="17" customFormat="false" ht="18" hidden="false" customHeight="true" outlineLevel="0" collapsed="false">
      <c r="A17" s="15" t="s">
        <v>68</v>
      </c>
      <c r="B17" s="16" t="n">
        <v>0</v>
      </c>
      <c r="C17" s="16" t="n">
        <v>15000</v>
      </c>
      <c r="D17" s="16" t="n">
        <v>36000</v>
      </c>
      <c r="E17" s="17" t="n">
        <f aca="false">SUM(B17:D17)</f>
        <v>51000</v>
      </c>
    </row>
    <row r="18" customFormat="false" ht="18" hidden="false" customHeight="true" outlineLevel="0" collapsed="false">
      <c r="A18" s="15" t="s">
        <v>69</v>
      </c>
      <c r="B18" s="16" t="n">
        <v>0</v>
      </c>
      <c r="C18" s="16" t="n">
        <v>5000</v>
      </c>
      <c r="D18" s="16" t="n">
        <v>10000</v>
      </c>
      <c r="E18" s="17" t="n">
        <f aca="false">SUM(B18:D18)</f>
        <v>15000</v>
      </c>
    </row>
    <row r="19" customFormat="false" ht="18" hidden="false" customHeight="true" outlineLevel="0" collapsed="false">
      <c r="A19" s="21" t="s">
        <v>70</v>
      </c>
      <c r="B19" s="22" t="n">
        <f aca="false">SUM(B13:B18)</f>
        <v>11240</v>
      </c>
      <c r="C19" s="22" t="n">
        <f aca="false">SUM(C13:C18)</f>
        <v>70932</v>
      </c>
      <c r="D19" s="22" t="n">
        <f aca="false">SUM(D13:D18)</f>
        <v>122500</v>
      </c>
      <c r="E19" s="20" t="n">
        <f aca="false">SUM(B19:D19)</f>
        <v>204672</v>
      </c>
    </row>
    <row r="21" customFormat="false" ht="21.75" hidden="false" customHeight="true" outlineLevel="0" collapsed="false">
      <c r="A21" s="14" t="s">
        <v>71</v>
      </c>
      <c r="B21" s="14"/>
      <c r="C21" s="14"/>
      <c r="D21" s="14"/>
      <c r="E21" s="14"/>
    </row>
    <row r="22" customFormat="false" ht="18" hidden="false" customHeight="true" outlineLevel="0" collapsed="false">
      <c r="A22" s="23" t="s">
        <v>72</v>
      </c>
      <c r="B22" s="24" t="n">
        <f aca="false">B10-B19</f>
        <v>27160</v>
      </c>
      <c r="C22" s="24" t="n">
        <f aca="false">C10-C19</f>
        <v>34388</v>
      </c>
      <c r="D22" s="24" t="n">
        <f aca="false">D10-D19</f>
        <v>70500</v>
      </c>
      <c r="E22" s="20" t="n">
        <f aca="false">SUM(B22:D22)</f>
        <v>132048</v>
      </c>
    </row>
    <row r="23" customFormat="false" ht="18" hidden="false" customHeight="true" outlineLevel="0" collapsed="false">
      <c r="A23" s="25" t="s">
        <v>73</v>
      </c>
      <c r="B23" s="26" t="n">
        <f aca="false">IFERROR(B21/B10,0)</f>
        <v>0</v>
      </c>
      <c r="C23" s="26" t="n">
        <f aca="false">IFERROR(C21/C10,0)</f>
        <v>0</v>
      </c>
      <c r="D23" s="26" t="n">
        <f aca="false">IFERROR(D21/D10,0)</f>
        <v>0</v>
      </c>
      <c r="E23" s="27" t="n">
        <f aca="false">IFERROR((B21+C21+D21)/(B10+C10+D10),0)</f>
        <v>0</v>
      </c>
    </row>
    <row r="24" customFormat="false" ht="18" hidden="false" customHeight="true" outlineLevel="0" collapsed="false">
      <c r="A24" s="15" t="s">
        <v>74</v>
      </c>
      <c r="B24" s="28" t="n">
        <f aca="false">IFERROR((B13+B14+B16)/(350),"N/A")</f>
        <v>21.1428571428571</v>
      </c>
      <c r="C24" s="28" t="n">
        <f aca="false">IFERROR((C13+C14+C15+C16)/(420),"N/A")</f>
        <v>121.266666666667</v>
      </c>
      <c r="D24" s="28" t="n">
        <f aca="false">IFERROR((D13+D14+D15+D16)/(330),"N/A")</f>
        <v>231.818181818182</v>
      </c>
      <c r="E24" s="17" t="n">
        <f aca="false">SUM(B24:D24)</f>
        <v>374.227705627706</v>
      </c>
    </row>
  </sheetData>
  <mergeCells count="5">
    <mergeCell ref="A1:E1"/>
    <mergeCell ref="A2:E2"/>
    <mergeCell ref="A5:E5"/>
    <mergeCell ref="A12:E12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0"/>
  </cols>
  <sheetData>
    <row r="1" customFormat="false" ht="31.5" hidden="false" customHeight="true" outlineLevel="0" collapsed="false">
      <c r="A1" s="29" t="s">
        <v>75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Format="false" ht="21.75" hidden="false" customHeight="true" outlineLevel="0" collapsed="false"/>
    <row r="3" customFormat="false" ht="21.75" hidden="false" customHeight="true" outlineLevel="0" collapsed="false">
      <c r="A3" s="30" t="s">
        <v>52</v>
      </c>
      <c r="B3" s="31" t="s">
        <v>76</v>
      </c>
      <c r="C3" s="31" t="s">
        <v>77</v>
      </c>
      <c r="D3" s="31" t="s">
        <v>78</v>
      </c>
      <c r="E3" s="31" t="s">
        <v>79</v>
      </c>
      <c r="F3" s="31" t="s">
        <v>80</v>
      </c>
      <c r="G3" s="31" t="s">
        <v>81</v>
      </c>
      <c r="H3" s="31" t="s">
        <v>82</v>
      </c>
      <c r="I3" s="31" t="s">
        <v>83</v>
      </c>
      <c r="J3" s="31" t="s">
        <v>84</v>
      </c>
      <c r="K3" s="31" t="s">
        <v>85</v>
      </c>
      <c r="L3" s="31" t="s">
        <v>86</v>
      </c>
      <c r="M3" s="31" t="s">
        <v>87</v>
      </c>
      <c r="N3" s="30" t="s">
        <v>88</v>
      </c>
    </row>
    <row r="4" customFormat="false" ht="18" hidden="false" customHeight="true" outlineLevel="0" collapsed="false">
      <c r="A4" s="32" t="s">
        <v>89</v>
      </c>
      <c r="B4" s="33" t="n">
        <v>4</v>
      </c>
      <c r="C4" s="33" t="n">
        <v>5</v>
      </c>
      <c r="D4" s="33" t="n">
        <v>5</v>
      </c>
      <c r="E4" s="33" t="n">
        <v>6</v>
      </c>
      <c r="F4" s="33" t="n">
        <v>7</v>
      </c>
      <c r="G4" s="33" t="n">
        <v>7</v>
      </c>
      <c r="H4" s="33" t="n">
        <v>8</v>
      </c>
      <c r="I4" s="33" t="n">
        <v>9</v>
      </c>
      <c r="J4" s="33" t="n">
        <v>10</v>
      </c>
      <c r="K4" s="33" t="n">
        <v>10</v>
      </c>
      <c r="L4" s="33" t="n">
        <v>11</v>
      </c>
      <c r="M4" s="33" t="n">
        <v>12</v>
      </c>
      <c r="N4" s="34" t="n">
        <f aca="false">SUM(B4:M4)</f>
        <v>94</v>
      </c>
    </row>
    <row r="5" customFormat="false" ht="18" hidden="false" customHeight="true" outlineLevel="0" collapsed="false">
      <c r="A5" s="35" t="s">
        <v>90</v>
      </c>
      <c r="B5" s="36" t="n">
        <v>1400</v>
      </c>
      <c r="C5" s="36" t="n">
        <v>1750</v>
      </c>
      <c r="D5" s="36" t="n">
        <v>1750</v>
      </c>
      <c r="E5" s="36" t="n">
        <v>2100</v>
      </c>
      <c r="F5" s="36" t="n">
        <v>2450</v>
      </c>
      <c r="G5" s="36" t="n">
        <v>2450</v>
      </c>
      <c r="H5" s="36" t="n">
        <v>2800</v>
      </c>
      <c r="I5" s="36" t="n">
        <v>3150</v>
      </c>
      <c r="J5" s="36" t="n">
        <v>3500</v>
      </c>
      <c r="K5" s="36" t="n">
        <v>3500</v>
      </c>
      <c r="L5" s="36" t="n">
        <v>3850</v>
      </c>
      <c r="M5" s="36" t="n">
        <v>4200</v>
      </c>
      <c r="N5" s="37" t="n">
        <f aca="false">SUM(B5:M5)</f>
        <v>32900</v>
      </c>
    </row>
    <row r="6" customFormat="false" ht="18" hidden="false" customHeight="true" outlineLevel="0" collapsed="false">
      <c r="A6" s="38" t="s">
        <v>91</v>
      </c>
      <c r="B6" s="39" t="n">
        <v>3825</v>
      </c>
      <c r="C6" s="39" t="n">
        <v>325</v>
      </c>
      <c r="D6" s="39" t="n">
        <v>325</v>
      </c>
      <c r="E6" s="39" t="n">
        <v>325</v>
      </c>
      <c r="F6" s="39" t="n">
        <v>325</v>
      </c>
      <c r="G6" s="39" t="n">
        <v>325</v>
      </c>
      <c r="H6" s="39" t="n">
        <v>325</v>
      </c>
      <c r="I6" s="39" t="n">
        <v>325</v>
      </c>
      <c r="J6" s="39" t="n">
        <v>325</v>
      </c>
      <c r="K6" s="39" t="n">
        <v>325</v>
      </c>
      <c r="L6" s="39" t="n">
        <v>325</v>
      </c>
      <c r="M6" s="39" t="n">
        <v>325</v>
      </c>
      <c r="N6" s="40" t="n">
        <f aca="false">SUM(B6:M6)</f>
        <v>7400</v>
      </c>
    </row>
    <row r="7" customFormat="false" ht="18" hidden="false" customHeight="true" outlineLevel="0" collapsed="false">
      <c r="A7" s="38" t="s">
        <v>92</v>
      </c>
      <c r="B7" s="39" t="n">
        <v>140</v>
      </c>
      <c r="C7" s="39" t="n">
        <v>175</v>
      </c>
      <c r="D7" s="39" t="n">
        <v>175</v>
      </c>
      <c r="E7" s="39" t="n">
        <v>210</v>
      </c>
      <c r="F7" s="39" t="n">
        <v>245</v>
      </c>
      <c r="G7" s="39" t="n">
        <v>245</v>
      </c>
      <c r="H7" s="39" t="n">
        <v>280</v>
      </c>
      <c r="I7" s="39" t="n">
        <v>315</v>
      </c>
      <c r="J7" s="39" t="n">
        <v>350</v>
      </c>
      <c r="K7" s="39" t="n">
        <v>350</v>
      </c>
      <c r="L7" s="39" t="n">
        <v>385</v>
      </c>
      <c r="M7" s="39" t="n">
        <v>420</v>
      </c>
      <c r="N7" s="40" t="n">
        <f aca="false">SUM(B7:M7)</f>
        <v>3290</v>
      </c>
    </row>
    <row r="8" customFormat="false" ht="18" hidden="false" customHeight="true" outlineLevel="0" collapsed="false">
      <c r="A8" s="41" t="s">
        <v>93</v>
      </c>
      <c r="B8" s="42" t="n">
        <v>3965</v>
      </c>
      <c r="C8" s="42" t="n">
        <v>500</v>
      </c>
      <c r="D8" s="42" t="n">
        <v>500</v>
      </c>
      <c r="E8" s="42" t="n">
        <v>535</v>
      </c>
      <c r="F8" s="42" t="n">
        <v>570</v>
      </c>
      <c r="G8" s="42" t="n">
        <v>570</v>
      </c>
      <c r="H8" s="42" t="n">
        <v>605</v>
      </c>
      <c r="I8" s="42" t="n">
        <v>640</v>
      </c>
      <c r="J8" s="42" t="n">
        <v>675</v>
      </c>
      <c r="K8" s="42" t="n">
        <v>675</v>
      </c>
      <c r="L8" s="42" t="n">
        <v>710</v>
      </c>
      <c r="M8" s="42" t="n">
        <v>745</v>
      </c>
      <c r="N8" s="43" t="n">
        <f aca="false">SUM(B8:M8)</f>
        <v>10690</v>
      </c>
    </row>
    <row r="9" customFormat="false" ht="18" hidden="false" customHeight="true" outlineLevel="0" collapsed="false">
      <c r="A9" s="44" t="s">
        <v>94</v>
      </c>
      <c r="B9" s="45" t="n">
        <v>-2565</v>
      </c>
      <c r="C9" s="45" t="n">
        <v>1250</v>
      </c>
      <c r="D9" s="45" t="n">
        <v>1250</v>
      </c>
      <c r="E9" s="45" t="n">
        <v>1565</v>
      </c>
      <c r="F9" s="45" t="n">
        <v>1880</v>
      </c>
      <c r="G9" s="45" t="n">
        <v>1880</v>
      </c>
      <c r="H9" s="45" t="n">
        <v>2195</v>
      </c>
      <c r="I9" s="45" t="n">
        <v>2510</v>
      </c>
      <c r="J9" s="45" t="n">
        <v>2825</v>
      </c>
      <c r="K9" s="45" t="n">
        <v>2825</v>
      </c>
      <c r="L9" s="45" t="n">
        <v>3140</v>
      </c>
      <c r="M9" s="45" t="n">
        <v>3455</v>
      </c>
      <c r="N9" s="43" t="n">
        <f aca="false">SUM(B9:M9)</f>
        <v>22210</v>
      </c>
    </row>
    <row r="10" customFormat="false" ht="18" hidden="false" customHeight="true" outlineLevel="0" collapsed="false">
      <c r="A10" s="46" t="s">
        <v>95</v>
      </c>
      <c r="B10" s="47" t="n">
        <v>-2565</v>
      </c>
      <c r="C10" s="47" t="n">
        <v>-1315</v>
      </c>
      <c r="D10" s="47" t="n">
        <v>-65</v>
      </c>
      <c r="E10" s="47" t="n">
        <v>1500</v>
      </c>
      <c r="F10" s="47" t="n">
        <v>3380</v>
      </c>
      <c r="G10" s="47" t="n">
        <v>5260</v>
      </c>
      <c r="H10" s="47" t="n">
        <v>7455</v>
      </c>
      <c r="I10" s="47" t="n">
        <v>9965</v>
      </c>
      <c r="J10" s="47" t="n">
        <v>12790</v>
      </c>
      <c r="K10" s="47" t="n">
        <v>15615</v>
      </c>
      <c r="L10" s="47" t="n">
        <v>18755</v>
      </c>
      <c r="M10" s="47" t="n">
        <v>22210</v>
      </c>
      <c r="N10" s="43" t="n">
        <f aca="false">SUM(B10:M10)</f>
        <v>92985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30" hidden="false" customHeight="true" outlineLevel="0" collapsed="false">
      <c r="A1" s="29" t="s">
        <v>96</v>
      </c>
      <c r="B1" s="29"/>
      <c r="C1" s="29"/>
      <c r="D1" s="29"/>
      <c r="E1" s="29"/>
      <c r="F1" s="29"/>
    </row>
    <row r="3" customFormat="false" ht="31.5" hidden="false" customHeight="true" outlineLevel="0" collapsed="false">
      <c r="A3" s="13" t="s">
        <v>97</v>
      </c>
      <c r="B3" s="13" t="s">
        <v>98</v>
      </c>
      <c r="C3" s="13" t="s">
        <v>99</v>
      </c>
      <c r="D3" s="13" t="s">
        <v>100</v>
      </c>
      <c r="E3" s="13" t="s">
        <v>101</v>
      </c>
      <c r="F3" s="13" t="s">
        <v>102</v>
      </c>
    </row>
    <row r="4" customFormat="false" ht="19.5" hidden="false" customHeight="true" outlineLevel="0" collapsed="false">
      <c r="A4" s="48" t="s">
        <v>103</v>
      </c>
      <c r="B4" s="32" t="s">
        <v>104</v>
      </c>
      <c r="C4" s="48" t="n">
        <v>3</v>
      </c>
      <c r="D4" s="48" t="n">
        <v>4</v>
      </c>
      <c r="E4" s="49" t="n">
        <f aca="false">C4*D4</f>
        <v>12</v>
      </c>
      <c r="F4" s="32" t="s">
        <v>105</v>
      </c>
    </row>
    <row r="5" customFormat="false" ht="19.5" hidden="false" customHeight="true" outlineLevel="0" collapsed="false">
      <c r="A5" s="50" t="s">
        <v>103</v>
      </c>
      <c r="B5" s="35" t="s">
        <v>106</v>
      </c>
      <c r="C5" s="50" t="n">
        <v>2</v>
      </c>
      <c r="D5" s="50" t="n">
        <v>5</v>
      </c>
      <c r="E5" s="49" t="n">
        <f aca="false">C5*D5</f>
        <v>10</v>
      </c>
      <c r="F5" s="35" t="s">
        <v>107</v>
      </c>
    </row>
    <row r="6" customFormat="false" ht="19.5" hidden="false" customHeight="true" outlineLevel="0" collapsed="false">
      <c r="A6" s="48" t="s">
        <v>108</v>
      </c>
      <c r="B6" s="32" t="s">
        <v>109</v>
      </c>
      <c r="C6" s="48" t="n">
        <v>2</v>
      </c>
      <c r="D6" s="48" t="n">
        <v>4</v>
      </c>
      <c r="E6" s="49" t="n">
        <f aca="false">C6*D6</f>
        <v>8</v>
      </c>
      <c r="F6" s="32" t="s">
        <v>110</v>
      </c>
    </row>
    <row r="7" customFormat="false" ht="19.5" hidden="false" customHeight="true" outlineLevel="0" collapsed="false">
      <c r="A7" s="50" t="s">
        <v>108</v>
      </c>
      <c r="B7" s="35" t="s">
        <v>111</v>
      </c>
      <c r="C7" s="50" t="n">
        <v>3</v>
      </c>
      <c r="D7" s="50" t="n">
        <v>3</v>
      </c>
      <c r="E7" s="49" t="n">
        <f aca="false">C7*D7</f>
        <v>9</v>
      </c>
      <c r="F7" s="35" t="s">
        <v>112</v>
      </c>
    </row>
    <row r="8" customFormat="false" ht="19.5" hidden="false" customHeight="true" outlineLevel="0" collapsed="false">
      <c r="A8" s="48" t="s">
        <v>113</v>
      </c>
      <c r="B8" s="32" t="s">
        <v>114</v>
      </c>
      <c r="C8" s="48" t="n">
        <v>3</v>
      </c>
      <c r="D8" s="48" t="n">
        <v>4</v>
      </c>
      <c r="E8" s="49" t="n">
        <f aca="false">C8*D8</f>
        <v>12</v>
      </c>
      <c r="F8" s="32" t="s">
        <v>115</v>
      </c>
    </row>
    <row r="9" customFormat="false" ht="19.5" hidden="false" customHeight="true" outlineLevel="0" collapsed="false">
      <c r="A9" s="50" t="s">
        <v>113</v>
      </c>
      <c r="B9" s="35" t="s">
        <v>116</v>
      </c>
      <c r="C9" s="50" t="n">
        <v>4</v>
      </c>
      <c r="D9" s="50" t="n">
        <v>3</v>
      </c>
      <c r="E9" s="49" t="n">
        <f aca="false">C9*D9</f>
        <v>12</v>
      </c>
      <c r="F9" s="35" t="s">
        <v>117</v>
      </c>
    </row>
    <row r="10" customFormat="false" ht="19.5" hidden="false" customHeight="true" outlineLevel="0" collapsed="false">
      <c r="A10" s="48" t="s">
        <v>118</v>
      </c>
      <c r="B10" s="32" t="s">
        <v>119</v>
      </c>
      <c r="C10" s="48" t="n">
        <v>3</v>
      </c>
      <c r="D10" s="48" t="n">
        <v>4</v>
      </c>
      <c r="E10" s="49" t="n">
        <f aca="false">C10*D10</f>
        <v>12</v>
      </c>
      <c r="F10" s="32" t="s">
        <v>120</v>
      </c>
    </row>
    <row r="11" customFormat="false" ht="19.5" hidden="false" customHeight="true" outlineLevel="0" collapsed="false">
      <c r="A11" s="50" t="s">
        <v>118</v>
      </c>
      <c r="B11" s="35" t="s">
        <v>121</v>
      </c>
      <c r="C11" s="50" t="n">
        <v>2</v>
      </c>
      <c r="D11" s="50" t="n">
        <v>4</v>
      </c>
      <c r="E11" s="49" t="n">
        <f aca="false">C11*D11</f>
        <v>8</v>
      </c>
      <c r="F11" s="35" t="s">
        <v>122</v>
      </c>
    </row>
    <row r="12" customFormat="false" ht="19.5" hidden="false" customHeight="true" outlineLevel="0" collapsed="false">
      <c r="A12" s="48" t="s">
        <v>123</v>
      </c>
      <c r="B12" s="32" t="s">
        <v>124</v>
      </c>
      <c r="C12" s="48" t="n">
        <v>4</v>
      </c>
      <c r="D12" s="48" t="n">
        <v>3</v>
      </c>
      <c r="E12" s="49" t="n">
        <f aca="false">C12*D12</f>
        <v>12</v>
      </c>
      <c r="F12" s="32" t="s">
        <v>125</v>
      </c>
    </row>
    <row r="13" customFormat="false" ht="19.5" hidden="false" customHeight="true" outlineLevel="0" collapsed="false">
      <c r="A13" s="50" t="s">
        <v>123</v>
      </c>
      <c r="B13" s="35" t="s">
        <v>126</v>
      </c>
      <c r="C13" s="50" t="n">
        <v>3</v>
      </c>
      <c r="D13" s="50" t="n">
        <v>2</v>
      </c>
      <c r="E13" s="51" t="n">
        <f aca="false">C13*D13</f>
        <v>6</v>
      </c>
      <c r="F13" s="35" t="s">
        <v>127</v>
      </c>
    </row>
    <row r="15" customFormat="false" ht="22.35" hidden="false" customHeight="false" outlineLevel="0" collapsed="false">
      <c r="A15" s="52" t="s">
        <v>128</v>
      </c>
      <c r="B15" s="51" t="s">
        <v>129</v>
      </c>
      <c r="C15" s="49" t="s">
        <v>130</v>
      </c>
      <c r="D15" s="53" t="s">
        <v>131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2026-03-28T01:31:49Z</dcterms:created>
  <dc:creator>openpyxl</dc:creator>
  <dc:description/>
  <dc:language>en-US</dc:language>
  <cp:lastModifiedBy/>
  <dcterms:modified xsi:type="dcterms:W3CDTF">2026-03-28T01:31:49Z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